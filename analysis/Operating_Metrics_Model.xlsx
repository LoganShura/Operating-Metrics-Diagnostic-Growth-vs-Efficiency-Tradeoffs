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Users\Logan\Desktop\Operating metrics diagnostic\"/>
    </mc:Choice>
  </mc:AlternateContent>
  <xr:revisionPtr revIDLastSave="0" documentId="13_ncr:1_{68D72B10-536A-4A28-A6B1-D1977D596677}" xr6:coauthVersionLast="47" xr6:coauthVersionMax="47" xr10:uidLastSave="{00000000-0000-0000-0000-000000000000}"/>
  <bookViews>
    <workbookView xWindow="5175" yWindow="5385" windowWidth="26610" windowHeight="15345" activeTab="2" xr2:uid="{90D48716-CE75-46E6-8DF2-1EE0CA0E87D9}"/>
  </bookViews>
  <sheets>
    <sheet name="README" sheetId="1" r:id="rId1"/>
    <sheet name="Raw_Data" sheetId="2" r:id="rId2"/>
    <sheet name="Derived_Metrics" sheetId="3" r:id="rId3"/>
    <sheet name="Insigh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2" i="3"/>
  <c r="G2" i="3"/>
  <c r="G4" i="3"/>
  <c r="G5" i="3"/>
  <c r="G6" i="3"/>
  <c r="G7" i="3"/>
  <c r="G8" i="3"/>
  <c r="G9" i="3"/>
  <c r="G10" i="3"/>
  <c r="G11" i="3"/>
  <c r="G12" i="3"/>
  <c r="G13" i="3"/>
  <c r="G3" i="3"/>
  <c r="D2" i="3"/>
  <c r="B3" i="3"/>
  <c r="F3" i="3"/>
  <c r="F4" i="3"/>
  <c r="F5" i="3"/>
  <c r="F6" i="3"/>
  <c r="F7" i="3"/>
  <c r="F8" i="3"/>
  <c r="F9" i="3"/>
  <c r="F10" i="3"/>
  <c r="F11" i="3"/>
  <c r="F12" i="3"/>
  <c r="F13" i="3"/>
  <c r="E3" i="3"/>
  <c r="E4" i="3"/>
  <c r="E5" i="3"/>
  <c r="E6" i="3"/>
  <c r="E7" i="3"/>
  <c r="E8" i="3"/>
  <c r="E9" i="3"/>
  <c r="E10" i="3"/>
  <c r="E11" i="3"/>
  <c r="J11" i="3" s="1"/>
  <c r="E12" i="3"/>
  <c r="J12" i="3" s="1"/>
  <c r="E13" i="3"/>
  <c r="D3" i="3"/>
  <c r="D4" i="3"/>
  <c r="D5" i="3"/>
  <c r="D6" i="3"/>
  <c r="D7" i="3"/>
  <c r="D8" i="3"/>
  <c r="D9" i="3"/>
  <c r="D10" i="3"/>
  <c r="D11" i="3"/>
  <c r="D12" i="3"/>
  <c r="D13" i="3"/>
  <c r="C3" i="3"/>
  <c r="C4" i="3"/>
  <c r="C5" i="3"/>
  <c r="C6" i="3"/>
  <c r="C7" i="3"/>
  <c r="C8" i="3"/>
  <c r="I8" i="3" s="1"/>
  <c r="C9" i="3"/>
  <c r="C10" i="3"/>
  <c r="C11" i="3"/>
  <c r="I11" i="3" s="1"/>
  <c r="C12" i="3"/>
  <c r="C13" i="3"/>
  <c r="B4" i="3"/>
  <c r="B5" i="3"/>
  <c r="B6" i="3"/>
  <c r="B7" i="3"/>
  <c r="B8" i="3"/>
  <c r="B9" i="3"/>
  <c r="B10" i="3"/>
  <c r="B11" i="3"/>
  <c r="B12" i="3"/>
  <c r="B13" i="3"/>
  <c r="A3" i="3"/>
  <c r="A4" i="3"/>
  <c r="A5" i="3"/>
  <c r="A6" i="3"/>
  <c r="A7" i="3"/>
  <c r="A8" i="3"/>
  <c r="A9" i="3"/>
  <c r="A10" i="3"/>
  <c r="A11" i="3"/>
  <c r="A12" i="3"/>
  <c r="A13" i="3"/>
  <c r="F2" i="3"/>
  <c r="E2" i="3"/>
  <c r="J2" i="3" s="1"/>
  <c r="C2" i="3"/>
  <c r="B2" i="3"/>
  <c r="I2" i="3" s="1"/>
  <c r="A2" i="3"/>
  <c r="J10" i="3" l="1"/>
  <c r="I12" i="3"/>
  <c r="J13" i="3"/>
  <c r="I6" i="3"/>
  <c r="J3" i="3"/>
  <c r="I13" i="3"/>
  <c r="J9" i="3"/>
  <c r="J8" i="3"/>
  <c r="I10" i="3"/>
  <c r="J7" i="3"/>
  <c r="I9" i="3"/>
  <c r="I5" i="3"/>
  <c r="J6" i="3"/>
  <c r="I7" i="3"/>
  <c r="I4" i="3"/>
  <c r="J5" i="3"/>
  <c r="J4" i="3"/>
  <c r="I3" i="3"/>
</calcChain>
</file>

<file path=xl/sharedStrings.xml><?xml version="1.0" encoding="utf-8"?>
<sst xmlns="http://schemas.openxmlformats.org/spreadsheetml/2006/main" count="46" uniqueCount="40">
  <si>
    <t>Purpose</t>
  </si>
  <si>
    <t>Quick diagnostic to identify whether operating underperformance is driven by growth, cost efficiency, or business mix.</t>
  </si>
  <si>
    <t>Key Questions</t>
  </si>
  <si>
    <t>• Is revenue growth decoupling from user growth?</t>
  </si>
  <si>
    <t>• Are operating costs scaling faster than revenue?</t>
  </si>
  <si>
    <t>• Is margin pressure lagging upstream signals?</t>
  </si>
  <si>
    <t>Usage</t>
  </si>
  <si>
    <t>• Raw data feeds derived metrics</t>
  </si>
  <si>
    <t>• Metrics power Tableau dashboard and insights</t>
  </si>
  <si>
    <t>Month</t>
  </si>
  <si>
    <t>Revenue</t>
  </si>
  <si>
    <t>Active_Users</t>
  </si>
  <si>
    <t>CAC</t>
  </si>
  <si>
    <t>Support_Cost</t>
  </si>
  <si>
    <t>Gross_Margin</t>
  </si>
  <si>
    <t>Revenue_Growth_MoM</t>
  </si>
  <si>
    <t>User_Growth_MoM</t>
  </si>
  <si>
    <t>Revenue_per__User</t>
  </si>
  <si>
    <t>Support_Cost_Ratio</t>
  </si>
  <si>
    <t>Insight 1 — Growth Signal</t>
  </si>
  <si>
    <t>Insight 2 — Cost Efficiency Signal</t>
  </si>
  <si>
    <t>Insight 3 — Margin Lag Effect</t>
  </si>
  <si>
    <t>• Confirms margin pressure is a downstream effect, not the root cause</t>
  </si>
  <si>
    <t>• Gross margin compression follows growth and cost signals with a delay</t>
  </si>
  <si>
    <t>• Suggests operating model is not scaling efficiently with growth</t>
  </si>
  <si>
    <t>• Support cost as a percentage of revenue trends upward</t>
  </si>
  <si>
    <t>• Indicates weakening monetization or pricing pressure rather than demand collapse</t>
  </si>
  <si>
    <t>• Revenue growth decelerates while active users continue to grow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</si>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</sst>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left" vertical="center" indent="1"/>
    </xf>
    <xf numFmtId="165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0D0A-8CAF-4874-BEBD-F9B8D6EC3621}">
  <dimension ref="A1:A11"/>
  <sheetViews>
    <sheetView showGridLines="0" workbookViewId="0">
      <selection activeCell="A12" sqref="A12"/>
    </sheetView>
  </sheetViews>
  <sheetFormatPr defaultRowHeight="15" x14ac:dyDescent="0.25"/>
  <cols>
    <col min="1" max="1" width="109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s="1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s="1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47EB-4D92-4E2E-B4D2-AE6469180881}">
  <dimension ref="A1:F13"/>
  <sheetViews>
    <sheetView workbookViewId="0">
      <selection activeCell="C17" sqref="C17"/>
    </sheetView>
  </sheetViews>
  <sheetFormatPr defaultRowHeight="15" x14ac:dyDescent="0.25"/>
  <cols>
    <col min="1" max="1" width="7.7109375" bestFit="1" customWidth="1"/>
    <col min="2" max="2" width="13.85546875" bestFit="1" customWidth="1"/>
    <col min="3" max="3" width="12.42578125" bestFit="1" customWidth="1"/>
    <col min="5" max="5" width="12.85546875" bestFit="1" customWidth="1"/>
    <col min="6" max="6" width="13.140625" bestFit="1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 t="s">
        <v>28</v>
      </c>
      <c r="B2" s="4">
        <v>5000000</v>
      </c>
      <c r="C2">
        <v>1000000</v>
      </c>
      <c r="D2" s="4">
        <v>120</v>
      </c>
      <c r="E2" s="4">
        <v>900000</v>
      </c>
      <c r="F2" s="6">
        <v>0.68</v>
      </c>
    </row>
    <row r="3" spans="1:6" x14ac:dyDescent="0.25">
      <c r="A3" t="s">
        <v>29</v>
      </c>
      <c r="B3" s="4">
        <v>5250000</v>
      </c>
      <c r="C3">
        <v>1030000</v>
      </c>
      <c r="D3" s="4">
        <v>121</v>
      </c>
      <c r="E3" s="4">
        <v>920000</v>
      </c>
      <c r="F3" s="6">
        <v>0.67900000000000005</v>
      </c>
    </row>
    <row r="4" spans="1:6" x14ac:dyDescent="0.25">
      <c r="A4" t="s">
        <v>30</v>
      </c>
      <c r="B4" s="4">
        <v>5520000</v>
      </c>
      <c r="C4">
        <v>1060000</v>
      </c>
      <c r="D4" s="4">
        <v>123</v>
      </c>
      <c r="E4" s="4">
        <v>950000</v>
      </c>
      <c r="F4" s="6">
        <v>0.67700000000000005</v>
      </c>
    </row>
    <row r="5" spans="1:6" x14ac:dyDescent="0.25">
      <c r="A5" t="s">
        <v>31</v>
      </c>
      <c r="B5" s="4">
        <v>5720000</v>
      </c>
      <c r="C5">
        <v>1090000</v>
      </c>
      <c r="D5" s="4">
        <v>125</v>
      </c>
      <c r="E5" s="4">
        <v>990000</v>
      </c>
      <c r="F5" s="6">
        <v>0.67400000000000004</v>
      </c>
    </row>
    <row r="6" spans="1:6" x14ac:dyDescent="0.25">
      <c r="A6" t="s">
        <v>32</v>
      </c>
      <c r="B6" s="4">
        <v>5860000</v>
      </c>
      <c r="C6">
        <v>1120000</v>
      </c>
      <c r="D6" s="4">
        <v>128</v>
      </c>
      <c r="E6" s="4">
        <v>1040000</v>
      </c>
      <c r="F6" s="6">
        <v>0.67100000000000004</v>
      </c>
    </row>
    <row r="7" spans="1:6" x14ac:dyDescent="0.25">
      <c r="A7" t="s">
        <v>33</v>
      </c>
      <c r="B7" s="4">
        <v>5950000</v>
      </c>
      <c r="C7">
        <v>1150000</v>
      </c>
      <c r="D7" s="4">
        <v>131</v>
      </c>
      <c r="E7" s="4">
        <v>1100000</v>
      </c>
      <c r="F7" s="6">
        <v>0.66800000000000004</v>
      </c>
    </row>
    <row r="8" spans="1:6" x14ac:dyDescent="0.25">
      <c r="A8" t="s">
        <v>34</v>
      </c>
      <c r="B8" s="4">
        <v>6000000</v>
      </c>
      <c r="C8">
        <v>1180000</v>
      </c>
      <c r="D8" s="4">
        <v>134</v>
      </c>
      <c r="E8" s="4">
        <v>1165000</v>
      </c>
      <c r="F8" s="6">
        <v>0.66500000000000004</v>
      </c>
    </row>
    <row r="9" spans="1:6" x14ac:dyDescent="0.25">
      <c r="A9" t="s">
        <v>35</v>
      </c>
      <c r="B9" s="4">
        <v>6040000</v>
      </c>
      <c r="C9">
        <v>1210000</v>
      </c>
      <c r="D9" s="4">
        <v>137</v>
      </c>
      <c r="E9" s="4">
        <v>1220000</v>
      </c>
      <c r="F9" s="6">
        <v>0.66200000000000003</v>
      </c>
    </row>
    <row r="10" spans="1:6" x14ac:dyDescent="0.25">
      <c r="A10" t="s">
        <v>36</v>
      </c>
      <c r="B10" s="4">
        <v>6070000</v>
      </c>
      <c r="C10">
        <v>1235000</v>
      </c>
      <c r="D10" s="4">
        <v>140</v>
      </c>
      <c r="E10" s="4">
        <v>1270000</v>
      </c>
      <c r="F10" s="6">
        <v>0.65800000000000003</v>
      </c>
    </row>
    <row r="11" spans="1:6" x14ac:dyDescent="0.25">
      <c r="A11" t="s">
        <v>37</v>
      </c>
      <c r="B11" s="4">
        <v>6090000</v>
      </c>
      <c r="C11">
        <v>1255000</v>
      </c>
      <c r="D11" s="4">
        <v>143</v>
      </c>
      <c r="E11" s="4">
        <v>1305000</v>
      </c>
      <c r="F11" s="6">
        <v>0.65300000000000002</v>
      </c>
    </row>
    <row r="12" spans="1:6" x14ac:dyDescent="0.25">
      <c r="A12" t="s">
        <v>38</v>
      </c>
      <c r="B12" s="4">
        <v>6105000</v>
      </c>
      <c r="C12">
        <v>1272000</v>
      </c>
      <c r="D12" s="4">
        <v>146</v>
      </c>
      <c r="E12" s="4">
        <v>1320000</v>
      </c>
      <c r="F12" s="6">
        <v>0.64800000000000002</v>
      </c>
    </row>
    <row r="13" spans="1:6" x14ac:dyDescent="0.25">
      <c r="A13" t="s">
        <v>39</v>
      </c>
      <c r="B13" s="4">
        <v>6120000</v>
      </c>
      <c r="C13">
        <v>1290000</v>
      </c>
      <c r="D13" s="4">
        <v>148</v>
      </c>
      <c r="E13" s="4">
        <v>1330000</v>
      </c>
      <c r="F13" s="6">
        <v>0.64500000000000002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1D87-4748-447E-B7E6-880D5DCD29B1}">
  <dimension ref="A1:J14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7.7109375" bestFit="1" customWidth="1"/>
    <col min="2" max="2" width="12.7109375" bestFit="1" customWidth="1"/>
    <col min="3" max="3" width="12.42578125" bestFit="1" customWidth="1"/>
    <col min="4" max="4" width="7.5703125" bestFit="1" customWidth="1"/>
    <col min="5" max="5" width="12.85546875" bestFit="1" customWidth="1"/>
    <col min="6" max="6" width="13.140625" bestFit="1" customWidth="1"/>
    <col min="7" max="7" width="22.42578125" bestFit="1" customWidth="1"/>
    <col min="8" max="8" width="18.42578125" bestFit="1" customWidth="1"/>
    <col min="9" max="9" width="19.140625" bestFit="1" customWidth="1"/>
    <col min="10" max="10" width="18.7109375" bestFit="1" customWidth="1"/>
  </cols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tr">
        <f>Raw_Data!A2</f>
        <v>2025-01</v>
      </c>
      <c r="B2" s="3">
        <f>Raw_Data!B2</f>
        <v>5000000</v>
      </c>
      <c r="C2">
        <f>Raw_Data!C2</f>
        <v>1000000</v>
      </c>
      <c r="D2" s="4">
        <f>Raw_Data!D2</f>
        <v>120</v>
      </c>
      <c r="E2" s="4">
        <f>Raw_Data!E2</f>
        <v>900000</v>
      </c>
      <c r="F2" s="6">
        <f>Raw_Data!F2</f>
        <v>0.68</v>
      </c>
      <c r="G2" s="2" t="str">
        <f>IFERROR((B2-B1)/B1,"")</f>
        <v/>
      </c>
      <c r="H2" s="2" t="str">
        <f>IFERROR((C2-C1)/C1,"")</f>
        <v/>
      </c>
      <c r="I2" s="4">
        <f>B2/C2</f>
        <v>5</v>
      </c>
      <c r="J2" s="2">
        <f>E2/B2</f>
        <v>0.18</v>
      </c>
    </row>
    <row r="3" spans="1:10" x14ac:dyDescent="0.25">
      <c r="A3" t="str">
        <f>Raw_Data!A3</f>
        <v>2025-02</v>
      </c>
      <c r="B3" s="3">
        <f>Raw_Data!B3</f>
        <v>5250000</v>
      </c>
      <c r="C3">
        <f>Raw_Data!C3</f>
        <v>1030000</v>
      </c>
      <c r="D3" s="4">
        <f>Raw_Data!D3</f>
        <v>121</v>
      </c>
      <c r="E3" s="4">
        <f>Raw_Data!E3</f>
        <v>920000</v>
      </c>
      <c r="F3" s="6">
        <f>Raw_Data!F3</f>
        <v>0.67900000000000005</v>
      </c>
      <c r="G3" s="2">
        <f>IFERROR((B3-B2)/B2,"")</f>
        <v>0.05</v>
      </c>
      <c r="H3" s="2">
        <f t="shared" ref="H3:H13" si="0">IFERROR((C3-C2)/C2,"")</f>
        <v>0.03</v>
      </c>
      <c r="I3" s="4">
        <f t="shared" ref="I3:I13" si="1">B3/C3</f>
        <v>5.0970873786407767</v>
      </c>
      <c r="J3" s="2">
        <f t="shared" ref="J3:J13" si="2">E3/B3</f>
        <v>0.17523809523809525</v>
      </c>
    </row>
    <row r="4" spans="1:10" x14ac:dyDescent="0.25">
      <c r="A4" t="str">
        <f>Raw_Data!A4</f>
        <v>2025-03</v>
      </c>
      <c r="B4" s="3">
        <f>Raw_Data!B4</f>
        <v>5520000</v>
      </c>
      <c r="C4">
        <f>Raw_Data!C4</f>
        <v>1060000</v>
      </c>
      <c r="D4" s="4">
        <f>Raw_Data!D4</f>
        <v>123</v>
      </c>
      <c r="E4" s="4">
        <f>Raw_Data!E4</f>
        <v>950000</v>
      </c>
      <c r="F4" s="6">
        <f>Raw_Data!F4</f>
        <v>0.67700000000000005</v>
      </c>
      <c r="G4" s="2">
        <f t="shared" ref="G4:G13" si="3">IFERROR((B4-B3)/B3,"")</f>
        <v>5.1428571428571428E-2</v>
      </c>
      <c r="H4" s="2">
        <f t="shared" si="0"/>
        <v>2.9126213592233011E-2</v>
      </c>
      <c r="I4" s="4">
        <f t="shared" si="1"/>
        <v>5.2075471698113205</v>
      </c>
      <c r="J4" s="2">
        <f t="shared" si="2"/>
        <v>0.17210144927536231</v>
      </c>
    </row>
    <row r="5" spans="1:10" x14ac:dyDescent="0.25">
      <c r="A5" t="str">
        <f>Raw_Data!A5</f>
        <v>2025-04</v>
      </c>
      <c r="B5" s="3">
        <f>Raw_Data!B5</f>
        <v>5720000</v>
      </c>
      <c r="C5">
        <f>Raw_Data!C5</f>
        <v>1090000</v>
      </c>
      <c r="D5" s="4">
        <f>Raw_Data!D5</f>
        <v>125</v>
      </c>
      <c r="E5" s="4">
        <f>Raw_Data!E5</f>
        <v>990000</v>
      </c>
      <c r="F5" s="6">
        <f>Raw_Data!F5</f>
        <v>0.67400000000000004</v>
      </c>
      <c r="G5" s="2">
        <f t="shared" si="3"/>
        <v>3.6231884057971016E-2</v>
      </c>
      <c r="H5" s="2">
        <f t="shared" si="0"/>
        <v>2.8301886792452831E-2</v>
      </c>
      <c r="I5" s="4">
        <f t="shared" si="1"/>
        <v>5.2477064220183482</v>
      </c>
      <c r="J5" s="2">
        <f t="shared" si="2"/>
        <v>0.17307692307692307</v>
      </c>
    </row>
    <row r="6" spans="1:10" x14ac:dyDescent="0.25">
      <c r="A6" t="str">
        <f>Raw_Data!A6</f>
        <v>2025-05</v>
      </c>
      <c r="B6" s="3">
        <f>Raw_Data!B6</f>
        <v>5860000</v>
      </c>
      <c r="C6">
        <f>Raw_Data!C6</f>
        <v>1120000</v>
      </c>
      <c r="D6" s="4">
        <f>Raw_Data!D6</f>
        <v>128</v>
      </c>
      <c r="E6" s="4">
        <f>Raw_Data!E6</f>
        <v>1040000</v>
      </c>
      <c r="F6" s="6">
        <f>Raw_Data!F6</f>
        <v>0.67100000000000004</v>
      </c>
      <c r="G6" s="2">
        <f t="shared" si="3"/>
        <v>2.4475524475524476E-2</v>
      </c>
      <c r="H6" s="2">
        <f t="shared" si="0"/>
        <v>2.7522935779816515E-2</v>
      </c>
      <c r="I6" s="4">
        <f t="shared" si="1"/>
        <v>5.2321428571428568</v>
      </c>
      <c r="J6" s="2">
        <f t="shared" si="2"/>
        <v>0.17747440273037543</v>
      </c>
    </row>
    <row r="7" spans="1:10" x14ac:dyDescent="0.25">
      <c r="A7" t="str">
        <f>Raw_Data!A7</f>
        <v>2025-06</v>
      </c>
      <c r="B7" s="3">
        <f>Raw_Data!B7</f>
        <v>5950000</v>
      </c>
      <c r="C7">
        <f>Raw_Data!C7</f>
        <v>1150000</v>
      </c>
      <c r="D7" s="4">
        <f>Raw_Data!D7</f>
        <v>131</v>
      </c>
      <c r="E7" s="4">
        <f>Raw_Data!E7</f>
        <v>1100000</v>
      </c>
      <c r="F7" s="6">
        <f>Raw_Data!F7</f>
        <v>0.66800000000000004</v>
      </c>
      <c r="G7" s="2">
        <f t="shared" si="3"/>
        <v>1.5358361774744027E-2</v>
      </c>
      <c r="H7" s="2">
        <f t="shared" si="0"/>
        <v>2.6785714285714284E-2</v>
      </c>
      <c r="I7" s="4">
        <f t="shared" si="1"/>
        <v>5.1739130434782608</v>
      </c>
      <c r="J7" s="2">
        <f t="shared" si="2"/>
        <v>0.18487394957983194</v>
      </c>
    </row>
    <row r="8" spans="1:10" x14ac:dyDescent="0.25">
      <c r="A8" t="str">
        <f>Raw_Data!A8</f>
        <v>2025-07</v>
      </c>
      <c r="B8" s="3">
        <f>Raw_Data!B8</f>
        <v>6000000</v>
      </c>
      <c r="C8">
        <f>Raw_Data!C8</f>
        <v>1180000</v>
      </c>
      <c r="D8" s="4">
        <f>Raw_Data!D8</f>
        <v>134</v>
      </c>
      <c r="E8" s="4">
        <f>Raw_Data!E8</f>
        <v>1165000</v>
      </c>
      <c r="F8" s="6">
        <f>Raw_Data!F8</f>
        <v>0.66500000000000004</v>
      </c>
      <c r="G8" s="2">
        <f t="shared" si="3"/>
        <v>8.4033613445378148E-3</v>
      </c>
      <c r="H8" s="2">
        <f t="shared" si="0"/>
        <v>2.6086956521739129E-2</v>
      </c>
      <c r="I8" s="4">
        <f t="shared" si="1"/>
        <v>5.0847457627118642</v>
      </c>
      <c r="J8" s="2">
        <f t="shared" si="2"/>
        <v>0.19416666666666665</v>
      </c>
    </row>
    <row r="9" spans="1:10" x14ac:dyDescent="0.25">
      <c r="A9" t="str">
        <f>Raw_Data!A9</f>
        <v>2025-08</v>
      </c>
      <c r="B9" s="3">
        <f>Raw_Data!B9</f>
        <v>6040000</v>
      </c>
      <c r="C9">
        <f>Raw_Data!C9</f>
        <v>1210000</v>
      </c>
      <c r="D9" s="4">
        <f>Raw_Data!D9</f>
        <v>137</v>
      </c>
      <c r="E9" s="4">
        <f>Raw_Data!E9</f>
        <v>1220000</v>
      </c>
      <c r="F9" s="6">
        <f>Raw_Data!F9</f>
        <v>0.66200000000000003</v>
      </c>
      <c r="G9" s="2">
        <f t="shared" si="3"/>
        <v>6.6666666666666671E-3</v>
      </c>
      <c r="H9" s="2">
        <f t="shared" si="0"/>
        <v>2.5423728813559324E-2</v>
      </c>
      <c r="I9" s="4">
        <f t="shared" si="1"/>
        <v>4.9917355371900829</v>
      </c>
      <c r="J9" s="2">
        <f t="shared" si="2"/>
        <v>0.20198675496688742</v>
      </c>
    </row>
    <row r="10" spans="1:10" x14ac:dyDescent="0.25">
      <c r="A10" t="str">
        <f>Raw_Data!A10</f>
        <v>2025-09</v>
      </c>
      <c r="B10" s="3">
        <f>Raw_Data!B10</f>
        <v>6070000</v>
      </c>
      <c r="C10">
        <f>Raw_Data!C10</f>
        <v>1235000</v>
      </c>
      <c r="D10" s="4">
        <f>Raw_Data!D10</f>
        <v>140</v>
      </c>
      <c r="E10" s="4">
        <f>Raw_Data!E10</f>
        <v>1270000</v>
      </c>
      <c r="F10" s="6">
        <f>Raw_Data!F10</f>
        <v>0.65800000000000003</v>
      </c>
      <c r="G10" s="2">
        <f t="shared" si="3"/>
        <v>4.9668874172185433E-3</v>
      </c>
      <c r="H10" s="2">
        <f t="shared" si="0"/>
        <v>2.0661157024793389E-2</v>
      </c>
      <c r="I10" s="4">
        <f t="shared" si="1"/>
        <v>4.9149797570850202</v>
      </c>
      <c r="J10" s="2">
        <f t="shared" si="2"/>
        <v>0.20922570016474465</v>
      </c>
    </row>
    <row r="11" spans="1:10" x14ac:dyDescent="0.25">
      <c r="A11" t="str">
        <f>Raw_Data!A11</f>
        <v>2025-10</v>
      </c>
      <c r="B11" s="3">
        <f>Raw_Data!B11</f>
        <v>6090000</v>
      </c>
      <c r="C11">
        <f>Raw_Data!C11</f>
        <v>1255000</v>
      </c>
      <c r="D11" s="4">
        <f>Raw_Data!D11</f>
        <v>143</v>
      </c>
      <c r="E11" s="4">
        <f>Raw_Data!E11</f>
        <v>1305000</v>
      </c>
      <c r="F11" s="6">
        <f>Raw_Data!F11</f>
        <v>0.65300000000000002</v>
      </c>
      <c r="G11" s="2">
        <f t="shared" si="3"/>
        <v>3.2948929159802307E-3</v>
      </c>
      <c r="H11" s="2">
        <f t="shared" si="0"/>
        <v>1.6194331983805668E-2</v>
      </c>
      <c r="I11" s="4">
        <f t="shared" si="1"/>
        <v>4.8525896414342631</v>
      </c>
      <c r="J11" s="2">
        <f t="shared" si="2"/>
        <v>0.21428571428571427</v>
      </c>
    </row>
    <row r="12" spans="1:10" x14ac:dyDescent="0.25">
      <c r="A12" t="str">
        <f>Raw_Data!A12</f>
        <v>2025-11</v>
      </c>
      <c r="B12" s="3">
        <f>Raw_Data!B12</f>
        <v>6105000</v>
      </c>
      <c r="C12">
        <f>Raw_Data!C12</f>
        <v>1272000</v>
      </c>
      <c r="D12" s="4">
        <f>Raw_Data!D12</f>
        <v>146</v>
      </c>
      <c r="E12" s="4">
        <f>Raw_Data!E12</f>
        <v>1320000</v>
      </c>
      <c r="F12" s="6">
        <f>Raw_Data!F12</f>
        <v>0.64800000000000002</v>
      </c>
      <c r="G12" s="2">
        <f t="shared" si="3"/>
        <v>2.4630541871921183E-3</v>
      </c>
      <c r="H12" s="2">
        <f t="shared" si="0"/>
        <v>1.3545816733067729E-2</v>
      </c>
      <c r="I12" s="4">
        <f t="shared" si="1"/>
        <v>4.7995283018867925</v>
      </c>
      <c r="J12" s="2">
        <f t="shared" si="2"/>
        <v>0.21621621621621623</v>
      </c>
    </row>
    <row r="13" spans="1:10" x14ac:dyDescent="0.25">
      <c r="A13" t="str">
        <f>Raw_Data!A13</f>
        <v>2025-12</v>
      </c>
      <c r="B13" s="3">
        <f>Raw_Data!B13</f>
        <v>6120000</v>
      </c>
      <c r="C13">
        <f>Raw_Data!C13</f>
        <v>1290000</v>
      </c>
      <c r="D13" s="4">
        <f>Raw_Data!D13</f>
        <v>148</v>
      </c>
      <c r="E13" s="4">
        <f>Raw_Data!E13</f>
        <v>1330000</v>
      </c>
      <c r="F13" s="6">
        <f>Raw_Data!F13</f>
        <v>0.64500000000000002</v>
      </c>
      <c r="G13" s="2">
        <f t="shared" si="3"/>
        <v>2.4570024570024569E-3</v>
      </c>
      <c r="H13" s="2">
        <f t="shared" si="0"/>
        <v>1.4150943396226415E-2</v>
      </c>
      <c r="I13" s="4">
        <f t="shared" si="1"/>
        <v>4.7441860465116283</v>
      </c>
      <c r="J13" s="2">
        <f t="shared" si="2"/>
        <v>0.2173202614379085</v>
      </c>
    </row>
    <row r="14" spans="1:10" x14ac:dyDescent="0.25">
      <c r="G1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F3D6-2F5E-4991-97F5-92ACEB02EC5A}">
  <dimension ref="A1:A16"/>
  <sheetViews>
    <sheetView showGridLines="0" workbookViewId="0">
      <selection activeCell="D14" sqref="D14"/>
    </sheetView>
  </sheetViews>
  <sheetFormatPr defaultRowHeight="15" x14ac:dyDescent="0.25"/>
  <cols>
    <col min="1" max="1" width="20.85546875" customWidth="1"/>
  </cols>
  <sheetData>
    <row r="1" spans="1:1" x14ac:dyDescent="0.25">
      <c r="A1" s="1" t="s">
        <v>19</v>
      </c>
    </row>
    <row r="2" spans="1:1" x14ac:dyDescent="0.25">
      <c r="A2" s="5" t="s">
        <v>27</v>
      </c>
    </row>
    <row r="3" spans="1:1" x14ac:dyDescent="0.25">
      <c r="A3" s="5" t="s">
        <v>26</v>
      </c>
    </row>
    <row r="4" spans="1:1" x14ac:dyDescent="0.25">
      <c r="A4" s="5"/>
    </row>
    <row r="5" spans="1:1" x14ac:dyDescent="0.25">
      <c r="A5" s="1" t="s">
        <v>20</v>
      </c>
    </row>
    <row r="6" spans="1:1" x14ac:dyDescent="0.25">
      <c r="A6" s="5" t="s">
        <v>25</v>
      </c>
    </row>
    <row r="7" spans="1:1" x14ac:dyDescent="0.25">
      <c r="A7" s="5" t="s">
        <v>24</v>
      </c>
    </row>
    <row r="8" spans="1:1" x14ac:dyDescent="0.25">
      <c r="A8" s="5"/>
    </row>
    <row r="9" spans="1:1" x14ac:dyDescent="0.25">
      <c r="A9" s="1" t="s">
        <v>21</v>
      </c>
    </row>
    <row r="10" spans="1:1" x14ac:dyDescent="0.25">
      <c r="A10" s="5" t="s">
        <v>23</v>
      </c>
    </row>
    <row r="11" spans="1:1" x14ac:dyDescent="0.25">
      <c r="A11" s="5" t="s">
        <v>22</v>
      </c>
    </row>
    <row r="14" spans="1:1" x14ac:dyDescent="0.25">
      <c r="A14" s="5"/>
    </row>
    <row r="16" spans="1:1" x14ac:dyDescent="0.25">
      <c r="A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Raw_Data</vt:lpstr>
      <vt:lpstr>Derived_Metrics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Martin</dc:creator>
  <cp:lastModifiedBy>Logan Martin</cp:lastModifiedBy>
  <dcterms:created xsi:type="dcterms:W3CDTF">2025-12-16T13:46:54Z</dcterms:created>
  <dcterms:modified xsi:type="dcterms:W3CDTF">2025-12-16T15:53:57Z</dcterms:modified>
</cp:coreProperties>
</file>